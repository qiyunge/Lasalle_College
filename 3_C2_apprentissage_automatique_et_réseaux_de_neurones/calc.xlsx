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Projects\Lasalle_College\3_C2_apprentissage_automatique_et_réseaux_de_neurones\"/>
    </mc:Choice>
  </mc:AlternateContent>
  <xr:revisionPtr revIDLastSave="0" documentId="13_ncr:1_{88A1149C-31F3-45BD-A9D6-72A3BF9672A9}" xr6:coauthVersionLast="47" xr6:coauthVersionMax="47" xr10:uidLastSave="{00000000-0000-0000-0000-000000000000}"/>
  <bookViews>
    <workbookView xWindow="4425" yWindow="2775" windowWidth="28800" windowHeight="15345" xr2:uid="{45F39E83-F70F-9B45-A463-675DFB32D7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1" l="1"/>
  <c r="V17" i="1"/>
  <c r="U18" i="1"/>
  <c r="V18" i="1"/>
  <c r="U19" i="1"/>
  <c r="W19" i="1" s="1"/>
  <c r="X19" i="1" s="1"/>
  <c r="AC19" i="1" s="1"/>
  <c r="V19" i="1"/>
  <c r="V16" i="1"/>
  <c r="U16" i="1"/>
  <c r="W16" i="1" s="1"/>
  <c r="X16" i="1" s="1"/>
  <c r="B21" i="1"/>
  <c r="C21" i="1" s="1"/>
  <c r="H21" i="1" s="1"/>
  <c r="B15" i="1"/>
  <c r="C15" i="1" s="1"/>
  <c r="H15" i="1" s="1"/>
  <c r="B19" i="1"/>
  <c r="C19" i="1" s="1"/>
  <c r="G19" i="1" s="1"/>
  <c r="B17" i="1"/>
  <c r="C17" i="1" s="1"/>
  <c r="H17" i="1" s="1"/>
  <c r="W18" i="1" l="1"/>
  <c r="X18" i="1" s="1"/>
  <c r="AC18" i="1" s="1"/>
  <c r="W17" i="1"/>
  <c r="X17" i="1" s="1"/>
  <c r="AC17" i="1" s="1"/>
  <c r="AC16" i="1"/>
  <c r="AD16" i="1"/>
  <c r="G15" i="1"/>
  <c r="H19" i="1"/>
  <c r="H23" i="1" s="1"/>
  <c r="H24" i="1" s="1"/>
  <c r="AD19" i="1"/>
  <c r="G17" i="1"/>
  <c r="G21" i="1"/>
  <c r="AD17" i="1" l="1"/>
  <c r="AD18" i="1"/>
  <c r="AG17" i="1" s="1"/>
  <c r="AH17" i="1" s="1"/>
  <c r="AH23" i="1" s="1"/>
  <c r="AG16" i="1"/>
  <c r="AH16" i="1" s="1"/>
  <c r="AH22" i="1" s="1"/>
  <c r="G23" i="1"/>
  <c r="G24" i="1" s="1"/>
</calcChain>
</file>

<file path=xl/sharedStrings.xml><?xml version="1.0" encoding="utf-8"?>
<sst xmlns="http://schemas.openxmlformats.org/spreadsheetml/2006/main" count="48" uniqueCount="45">
  <si>
    <r>
      <t>x</t>
    </r>
    <r>
      <rPr>
        <b/>
        <vertAlign val="subscript"/>
        <sz val="18"/>
        <color theme="1"/>
        <rFont val="Arial"/>
        <family val="2"/>
      </rPr>
      <t>1</t>
    </r>
  </si>
  <si>
    <r>
      <t>W</t>
    </r>
    <r>
      <rPr>
        <vertAlign val="subscript"/>
        <sz val="18"/>
        <color theme="1"/>
        <rFont val="Arial"/>
        <family val="2"/>
      </rPr>
      <t>11</t>
    </r>
    <r>
      <rPr>
        <sz val="18"/>
        <color theme="1"/>
        <rFont val="Arial"/>
        <family val="2"/>
      </rPr>
      <t>=0.5</t>
    </r>
  </si>
  <si>
    <r>
      <t>x</t>
    </r>
    <r>
      <rPr>
        <b/>
        <vertAlign val="subscript"/>
        <sz val="18"/>
        <color theme="1"/>
        <rFont val="Arial"/>
        <family val="2"/>
      </rPr>
      <t>2</t>
    </r>
  </si>
  <si>
    <r>
      <t>W</t>
    </r>
    <r>
      <rPr>
        <vertAlign val="subscript"/>
        <sz val="18"/>
        <color theme="1"/>
        <rFont val="Arial"/>
        <family val="2"/>
      </rPr>
      <t>21</t>
    </r>
    <r>
      <rPr>
        <sz val="18"/>
        <color theme="1"/>
        <rFont val="Arial"/>
        <family val="2"/>
      </rPr>
      <t>=-0.2</t>
    </r>
  </si>
  <si>
    <r>
      <t>W</t>
    </r>
    <r>
      <rPr>
        <vertAlign val="subscript"/>
        <sz val="18"/>
        <color theme="1"/>
        <rFont val="Arial"/>
        <family val="2"/>
      </rPr>
      <t>12</t>
    </r>
    <r>
      <rPr>
        <sz val="18"/>
        <color theme="1"/>
        <rFont val="Arial"/>
        <family val="2"/>
      </rPr>
      <t>=0.1</t>
    </r>
  </si>
  <si>
    <r>
      <t>W</t>
    </r>
    <r>
      <rPr>
        <vertAlign val="subscript"/>
        <sz val="18"/>
        <color theme="1"/>
        <rFont val="Arial"/>
        <family val="2"/>
      </rPr>
      <t>22</t>
    </r>
    <r>
      <rPr>
        <sz val="18"/>
        <color theme="1"/>
        <rFont val="Arial"/>
        <family val="2"/>
      </rPr>
      <t>=0.7</t>
    </r>
  </si>
  <si>
    <r>
      <t>W</t>
    </r>
    <r>
      <rPr>
        <vertAlign val="subscript"/>
        <sz val="18"/>
        <color theme="1"/>
        <rFont val="Arial"/>
        <family val="2"/>
      </rPr>
      <t>13</t>
    </r>
    <r>
      <rPr>
        <sz val="18"/>
        <color theme="1"/>
        <rFont val="Arial"/>
        <family val="2"/>
      </rPr>
      <t>=0.8</t>
    </r>
  </si>
  <si>
    <r>
      <t>W</t>
    </r>
    <r>
      <rPr>
        <vertAlign val="subscript"/>
        <sz val="18"/>
        <color theme="1"/>
        <rFont val="Arial"/>
        <family val="2"/>
      </rPr>
      <t>23</t>
    </r>
    <r>
      <rPr>
        <sz val="18"/>
        <color theme="1"/>
        <rFont val="Arial"/>
        <family val="2"/>
      </rPr>
      <t>=0.1</t>
    </r>
  </si>
  <si>
    <r>
      <t>W</t>
    </r>
    <r>
      <rPr>
        <vertAlign val="subscript"/>
        <sz val="18"/>
        <color theme="1"/>
        <rFont val="Arial"/>
        <family val="2"/>
      </rPr>
      <t>14</t>
    </r>
    <r>
      <rPr>
        <sz val="18"/>
        <color theme="1"/>
        <rFont val="Arial"/>
        <family val="2"/>
      </rPr>
      <t>=-0.4</t>
    </r>
  </si>
  <si>
    <r>
      <t>W</t>
    </r>
    <r>
      <rPr>
        <vertAlign val="subscript"/>
        <sz val="18"/>
        <color theme="1"/>
        <rFont val="Arial"/>
        <family val="2"/>
      </rPr>
      <t>24</t>
    </r>
    <r>
      <rPr>
        <sz val="18"/>
        <color theme="1"/>
        <rFont val="Arial"/>
        <family val="2"/>
      </rPr>
      <t>=-06</t>
    </r>
  </si>
  <si>
    <r>
      <t>h</t>
    </r>
    <r>
      <rPr>
        <b/>
        <vertAlign val="subscript"/>
        <sz val="18"/>
        <color theme="1"/>
        <rFont val="Arial"/>
        <family val="2"/>
      </rPr>
      <t>1</t>
    </r>
  </si>
  <si>
    <r>
      <t>W</t>
    </r>
    <r>
      <rPr>
        <vertAlign val="subscript"/>
        <sz val="18"/>
        <color theme="1"/>
        <rFont val="Arial"/>
        <family val="2"/>
      </rPr>
      <t>11</t>
    </r>
    <r>
      <rPr>
        <sz val="18"/>
        <color theme="1"/>
        <rFont val="Arial"/>
        <family val="2"/>
      </rPr>
      <t>=0.6</t>
    </r>
  </si>
  <si>
    <r>
      <t>W</t>
    </r>
    <r>
      <rPr>
        <vertAlign val="subscript"/>
        <sz val="18"/>
        <color theme="1"/>
        <rFont val="Arial"/>
        <family val="2"/>
      </rPr>
      <t>12</t>
    </r>
    <r>
      <rPr>
        <sz val="18"/>
        <color theme="1"/>
        <rFont val="Arial"/>
        <family val="2"/>
      </rPr>
      <t>=-0.4</t>
    </r>
  </si>
  <si>
    <r>
      <t>h</t>
    </r>
    <r>
      <rPr>
        <b/>
        <vertAlign val="subscript"/>
        <sz val="18"/>
        <color theme="1"/>
        <rFont val="Arial"/>
        <family val="2"/>
      </rPr>
      <t>2</t>
    </r>
  </si>
  <si>
    <r>
      <t>W</t>
    </r>
    <r>
      <rPr>
        <vertAlign val="subscript"/>
        <sz val="18"/>
        <color theme="1"/>
        <rFont val="Arial"/>
        <family val="2"/>
      </rPr>
      <t>21</t>
    </r>
    <r>
      <rPr>
        <sz val="18"/>
        <color theme="1"/>
        <rFont val="Arial"/>
        <family val="2"/>
      </rPr>
      <t>=-0.1</t>
    </r>
  </si>
  <si>
    <r>
      <t>W</t>
    </r>
    <r>
      <rPr>
        <vertAlign val="subscript"/>
        <sz val="18"/>
        <color theme="1"/>
        <rFont val="Arial"/>
        <family val="2"/>
      </rPr>
      <t>22</t>
    </r>
    <r>
      <rPr>
        <sz val="18"/>
        <color theme="1"/>
        <rFont val="Arial"/>
        <family val="2"/>
      </rPr>
      <t>=-0.1</t>
    </r>
  </si>
  <si>
    <r>
      <t>h</t>
    </r>
    <r>
      <rPr>
        <b/>
        <vertAlign val="subscript"/>
        <sz val="18"/>
        <color theme="1"/>
        <rFont val="Arial"/>
        <family val="2"/>
      </rPr>
      <t>3</t>
    </r>
  </si>
  <si>
    <r>
      <t>W</t>
    </r>
    <r>
      <rPr>
        <vertAlign val="subscript"/>
        <sz val="18"/>
        <color theme="1"/>
        <rFont val="Arial"/>
        <family val="2"/>
      </rPr>
      <t>31</t>
    </r>
    <r>
      <rPr>
        <sz val="18"/>
        <color theme="1"/>
        <rFont val="Arial"/>
        <family val="2"/>
      </rPr>
      <t>=0.8</t>
    </r>
  </si>
  <si>
    <r>
      <t>W</t>
    </r>
    <r>
      <rPr>
        <vertAlign val="subscript"/>
        <sz val="18"/>
        <color theme="1"/>
        <rFont val="Arial"/>
        <family val="2"/>
      </rPr>
      <t>32</t>
    </r>
    <r>
      <rPr>
        <sz val="18"/>
        <color theme="1"/>
        <rFont val="Arial"/>
        <family val="2"/>
      </rPr>
      <t>=-0.2</t>
    </r>
  </si>
  <si>
    <r>
      <t>h</t>
    </r>
    <r>
      <rPr>
        <b/>
        <vertAlign val="subscript"/>
        <sz val="18"/>
        <color theme="1"/>
        <rFont val="Arial"/>
        <family val="2"/>
      </rPr>
      <t>4</t>
    </r>
  </si>
  <si>
    <r>
      <t>W</t>
    </r>
    <r>
      <rPr>
        <vertAlign val="subscript"/>
        <sz val="18"/>
        <color theme="1"/>
        <rFont val="Arial"/>
        <family val="2"/>
      </rPr>
      <t>41</t>
    </r>
    <r>
      <rPr>
        <sz val="18"/>
        <color theme="1"/>
        <rFont val="Arial"/>
        <family val="2"/>
      </rPr>
      <t>=-0.5</t>
    </r>
  </si>
  <si>
    <r>
      <t>W</t>
    </r>
    <r>
      <rPr>
        <vertAlign val="subscript"/>
        <sz val="18"/>
        <color theme="1"/>
        <rFont val="Arial"/>
        <family val="2"/>
      </rPr>
      <t>42</t>
    </r>
    <r>
      <rPr>
        <sz val="18"/>
        <color theme="1"/>
        <rFont val="Arial"/>
        <family val="2"/>
      </rPr>
      <t>=0.7</t>
    </r>
  </si>
  <si>
    <t>O1</t>
  </si>
  <si>
    <t>O2</t>
  </si>
  <si>
    <t>W11</t>
  </si>
  <si>
    <t>W12</t>
  </si>
  <si>
    <t>W13</t>
  </si>
  <si>
    <t>W14</t>
  </si>
  <si>
    <t>W21</t>
  </si>
  <si>
    <t>W22</t>
  </si>
  <si>
    <t>W23</t>
  </si>
  <si>
    <t>W24</t>
  </si>
  <si>
    <t>X1</t>
  </si>
  <si>
    <t>X2</t>
  </si>
  <si>
    <t>Z</t>
  </si>
  <si>
    <t>sigmoid</t>
  </si>
  <si>
    <t>H1</t>
  </si>
  <si>
    <t>H2</t>
  </si>
  <si>
    <t>H3</t>
  </si>
  <si>
    <t>H4</t>
  </si>
  <si>
    <t>O1_W</t>
  </si>
  <si>
    <t>O2_W</t>
  </si>
  <si>
    <t>Sigmoid</t>
  </si>
  <si>
    <t>O(1-O)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</si>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</sst>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vertAlign val="subscript"/>
      <sz val="18"/>
      <color theme="1"/>
      <name val="Arial"/>
      <family val="2"/>
    </font>
    <font>
      <sz val="18"/>
      <color theme="1"/>
      <name val="Arial"/>
      <family val="2"/>
    </font>
    <font>
      <vertAlign val="subscript"/>
      <sz val="18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83CAEB"/>
      </left>
      <right style="medium">
        <color rgb="FF83CAEB"/>
      </right>
      <top style="medium">
        <color rgb="FF83CAEB"/>
      </top>
      <bottom/>
      <diagonal/>
    </border>
    <border>
      <left style="medium">
        <color rgb="FF83CAEB"/>
      </left>
      <right style="medium">
        <color rgb="FF83CAEB"/>
      </right>
      <top/>
      <bottom/>
      <diagonal/>
    </border>
    <border>
      <left style="medium">
        <color rgb="FF83CAEB"/>
      </left>
      <right style="medium">
        <color rgb="FF83CAEB"/>
      </right>
      <top/>
      <bottom style="medium">
        <color rgb="FF83CAEB"/>
      </bottom>
      <diagonal/>
    </border>
    <border>
      <left/>
      <right style="medium">
        <color rgb="FF83CAEB"/>
      </right>
      <top style="medium">
        <color rgb="FF83CAEB"/>
      </top>
      <bottom style="medium">
        <color rgb="FF0F9ED5"/>
      </bottom>
      <diagonal/>
    </border>
    <border>
      <left/>
      <right style="medium">
        <color rgb="FF83CAEB"/>
      </right>
      <top style="medium">
        <color rgb="FF83CAEB"/>
      </top>
      <bottom/>
      <diagonal/>
    </border>
    <border>
      <left/>
      <right style="medium">
        <color rgb="FF83CAEB"/>
      </right>
      <top/>
      <bottom/>
      <diagonal/>
    </border>
    <border>
      <left/>
      <right style="medium">
        <color rgb="FF83CAEB"/>
      </right>
      <top/>
      <bottom style="medium">
        <color rgb="FF83CAEB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2" borderId="11" xfId="0" applyFont="1" applyFill="1" applyBorder="1"/>
    <xf numFmtId="0" fontId="1" fillId="2" borderId="13" xfId="0" applyFont="1" applyFill="1" applyBorder="1"/>
    <xf numFmtId="0" fontId="1" fillId="2" borderId="9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491581</xdr:colOff>
      <xdr:row>0</xdr:row>
      <xdr:rowOff>12700</xdr:rowOff>
    </xdr:from>
    <xdr:to>
      <xdr:col>21</xdr:col>
      <xdr:colOff>332741</xdr:colOff>
      <xdr:row>12</xdr:row>
      <xdr:rowOff>558800</xdr:rowOff>
    </xdr:to>
    <xdr:pic>
      <xdr:nvPicPr>
        <xdr:cNvPr id="2" name="Picture 1" descr="The diagram illustrates a neural network's architecture, showing the input layer, hidden layers with sigmoid activation functions, and an output layer, with connections and weights specified for training data involving legitimate and fraudulent transactions.&#10;&#10;AI-generated content may be incorrect.">
          <a:extLst>
            <a:ext uri="{FF2B5EF4-FFF2-40B4-BE49-F238E27FC236}">
              <a16:creationId xmlns:a16="http://schemas.microsoft.com/office/drawing/2014/main" id="{7252FB63-BFF3-AEE4-B207-5B1F45DEF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1081" y="12700"/>
          <a:ext cx="9747160" cy="5321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6766-20ED-4F43-A221-1740AB31DB88}">
  <dimension ref="B9:AJ24"/>
  <sheetViews>
    <sheetView tabSelected="1" topLeftCell="M11" zoomScale="80" zoomScaleNormal="80" workbookViewId="0">
      <selection activeCell="AH21" sqref="AH21"/>
    </sheetView>
  </sheetViews>
  <sheetFormatPr defaultColWidth="10.875" defaultRowHeight="24" x14ac:dyDescent="0.4"/>
  <cols>
    <col min="1" max="4" width="10.875" style="1"/>
    <col min="5" max="5" width="18" style="1" customWidth="1"/>
    <col min="6" max="16384" width="10.875" style="1"/>
  </cols>
  <sheetData>
    <row r="9" spans="2:36" ht="24.75" thickBot="1" x14ac:dyDescent="0.45">
      <c r="D9" s="1">
        <v>0.6</v>
      </c>
      <c r="F9" s="1">
        <v>0.1</v>
      </c>
    </row>
    <row r="10" spans="2:36" ht="48.75" thickBot="1" x14ac:dyDescent="0.45">
      <c r="D10" s="17" t="s">
        <v>0</v>
      </c>
      <c r="E10" s="2" t="s">
        <v>1</v>
      </c>
      <c r="F10" s="17" t="s">
        <v>2</v>
      </c>
      <c r="G10" s="2" t="s">
        <v>3</v>
      </c>
    </row>
    <row r="11" spans="2:36" ht="48.75" thickBot="1" x14ac:dyDescent="0.45">
      <c r="D11" s="18"/>
      <c r="E11" s="3" t="s">
        <v>4</v>
      </c>
      <c r="F11" s="18"/>
      <c r="G11" s="3" t="s">
        <v>5</v>
      </c>
    </row>
    <row r="12" spans="2:36" ht="48.75" thickBot="1" x14ac:dyDescent="0.45">
      <c r="D12" s="18"/>
      <c r="E12" s="3" t="s">
        <v>6</v>
      </c>
      <c r="F12" s="18"/>
      <c r="G12" s="3" t="s">
        <v>7</v>
      </c>
    </row>
    <row r="13" spans="2:36" ht="48.75" thickBot="1" x14ac:dyDescent="0.45">
      <c r="D13" s="19"/>
      <c r="E13" s="3" t="s">
        <v>8</v>
      </c>
      <c r="F13" s="19"/>
      <c r="G13" s="3" t="s">
        <v>9</v>
      </c>
    </row>
    <row r="14" spans="2:36" ht="24.75" thickBot="1" x14ac:dyDescent="0.45">
      <c r="AA14" s="1" t="s">
        <v>40</v>
      </c>
      <c r="AB14" s="1" t="s">
        <v>41</v>
      </c>
    </row>
    <row r="15" spans="2:36" ht="24.75" x14ac:dyDescent="0.4">
      <c r="B15" s="1">
        <f>0.6*0.5-0.2*0.1</f>
        <v>0.27999999999999997</v>
      </c>
      <c r="C15" s="1">
        <f>1/(1+EXP(-1*B15))</f>
        <v>0.56954622393922905</v>
      </c>
      <c r="D15" s="17" t="s">
        <v>10</v>
      </c>
      <c r="E15" s="4" t="s">
        <v>11</v>
      </c>
      <c r="F15" s="1">
        <v>0.6</v>
      </c>
      <c r="G15" s="1">
        <f>F15*C15</f>
        <v>0.34172773436353743</v>
      </c>
      <c r="H15" s="1">
        <f>F16*C15</f>
        <v>-0.22781848957569162</v>
      </c>
      <c r="N15" s="6"/>
      <c r="O15" s="12"/>
      <c r="P15" s="12"/>
      <c r="Q15" s="12"/>
      <c r="R15" s="12"/>
      <c r="S15" s="7"/>
      <c r="T15" s="6"/>
      <c r="U15" s="12"/>
      <c r="V15" s="12"/>
      <c r="W15" s="12" t="s">
        <v>34</v>
      </c>
      <c r="X15" s="7" t="s">
        <v>35</v>
      </c>
      <c r="AA15" s="6"/>
      <c r="AB15" s="7"/>
      <c r="AC15" s="12"/>
      <c r="AD15" s="7"/>
      <c r="AE15" s="6"/>
      <c r="AF15" s="12"/>
      <c r="AG15" s="12" t="s">
        <v>34</v>
      </c>
      <c r="AH15" s="7" t="s">
        <v>42</v>
      </c>
      <c r="AJ15" s="1" t="s">
        <v>44</v>
      </c>
    </row>
    <row r="16" spans="2:36" ht="25.5" thickBot="1" x14ac:dyDescent="0.45">
      <c r="D16" s="19"/>
      <c r="E16" s="3" t="s">
        <v>12</v>
      </c>
      <c r="F16" s="1">
        <v>-0.4</v>
      </c>
      <c r="N16" s="8" t="s">
        <v>24</v>
      </c>
      <c r="O16" s="1">
        <v>0.5</v>
      </c>
      <c r="Q16" s="1" t="s">
        <v>28</v>
      </c>
      <c r="R16" s="1">
        <v>-0.2</v>
      </c>
      <c r="S16" s="9"/>
      <c r="T16" s="8" t="s">
        <v>36</v>
      </c>
      <c r="U16" s="1">
        <f>O16*$L$17</f>
        <v>0.3</v>
      </c>
      <c r="V16" s="1">
        <f>R16*$L$18</f>
        <v>-2.0000000000000004E-2</v>
      </c>
      <c r="W16" s="1">
        <f>SUM(U16:V16)</f>
        <v>0.27999999999999997</v>
      </c>
      <c r="X16" s="9">
        <f>1/(1+EXP(-W16))</f>
        <v>0.56954622393922905</v>
      </c>
      <c r="AA16" s="8">
        <v>0.6</v>
      </c>
      <c r="AB16" s="9">
        <v>-0.4</v>
      </c>
      <c r="AC16" s="1">
        <f>AA16*X16</f>
        <v>0.34172773436353743</v>
      </c>
      <c r="AD16" s="9">
        <f>AB16*X16</f>
        <v>-0.22781848957569162</v>
      </c>
      <c r="AE16" s="8"/>
      <c r="AF16" s="1" t="s">
        <v>22</v>
      </c>
      <c r="AG16" s="1">
        <f>SUM(AC16:AC19)</f>
        <v>0.57178870800510717</v>
      </c>
      <c r="AH16" s="14">
        <f>1/(1+EXP(-AG16))</f>
        <v>0.63917580765793858</v>
      </c>
      <c r="AJ16" s="20">
        <v>1</v>
      </c>
    </row>
    <row r="17" spans="2:36" ht="24.75" x14ac:dyDescent="0.4">
      <c r="B17" s="1">
        <f>0.6*0.1+0.1*0.7</f>
        <v>0.13</v>
      </c>
      <c r="C17" s="1">
        <f>1/(1+EXP(-1*B17))</f>
        <v>0.53245430638731872</v>
      </c>
      <c r="D17" s="17" t="s">
        <v>13</v>
      </c>
      <c r="E17" s="5" t="s">
        <v>14</v>
      </c>
      <c r="F17" s="1">
        <v>-0.1</v>
      </c>
      <c r="G17" s="1">
        <f>F17*C17</f>
        <v>-5.3245430638731876E-2</v>
      </c>
      <c r="H17" s="1">
        <f>F18*C17</f>
        <v>-5.3245430638731876E-2</v>
      </c>
      <c r="K17" s="6" t="s">
        <v>32</v>
      </c>
      <c r="L17" s="16">
        <v>0.6</v>
      </c>
      <c r="N17" s="8" t="s">
        <v>25</v>
      </c>
      <c r="O17" s="1">
        <v>0.1</v>
      </c>
      <c r="Q17" s="1" t="s">
        <v>29</v>
      </c>
      <c r="R17" s="1">
        <v>0.7</v>
      </c>
      <c r="S17" s="9"/>
      <c r="T17" s="8" t="s">
        <v>37</v>
      </c>
      <c r="U17" s="1">
        <f t="shared" ref="U17:U19" si="0">O17*$L$17</f>
        <v>0.06</v>
      </c>
      <c r="V17" s="1">
        <f t="shared" ref="V17:V19" si="1">R17*$L$18</f>
        <v>6.9999999999999993E-2</v>
      </c>
      <c r="W17" s="1">
        <f t="shared" ref="W17:W19" si="2">SUM(U17:V17)</f>
        <v>0.13</v>
      </c>
      <c r="X17" s="9">
        <f t="shared" ref="X17:X19" si="3">1/(1+EXP(-W17))</f>
        <v>0.53245430638731872</v>
      </c>
      <c r="AA17" s="8">
        <v>-0.1</v>
      </c>
      <c r="AB17" s="9">
        <v>-0.1</v>
      </c>
      <c r="AC17" s="1">
        <f t="shared" ref="AC17:AC19" si="4">AA17*X17</f>
        <v>-5.3245430638731876E-2</v>
      </c>
      <c r="AD17" s="9">
        <f t="shared" ref="AD17:AD19" si="5">AB17*X17</f>
        <v>-5.3245430638731876E-2</v>
      </c>
      <c r="AE17" s="8"/>
      <c r="AF17" s="1" t="s">
        <v>23</v>
      </c>
      <c r="AG17" s="1">
        <f>SUM(AD16:AD19)</f>
        <v>-0.10719496845120285</v>
      </c>
      <c r="AH17" s="14">
        <f>1/(1+EXP(-AG17))</f>
        <v>0.47322688993007694</v>
      </c>
      <c r="AJ17" s="20">
        <v>0</v>
      </c>
    </row>
    <row r="18" spans="2:36" ht="25.5" thickBot="1" x14ac:dyDescent="0.45">
      <c r="D18" s="19"/>
      <c r="E18" s="3" t="s">
        <v>15</v>
      </c>
      <c r="F18" s="1">
        <v>-0.1</v>
      </c>
      <c r="K18" s="10" t="s">
        <v>33</v>
      </c>
      <c r="L18" s="15">
        <v>0.1</v>
      </c>
      <c r="N18" s="8" t="s">
        <v>26</v>
      </c>
      <c r="O18" s="1">
        <v>0.8</v>
      </c>
      <c r="Q18" s="1" t="s">
        <v>30</v>
      </c>
      <c r="R18" s="1">
        <v>0.1</v>
      </c>
      <c r="S18" s="9"/>
      <c r="T18" s="8" t="s">
        <v>38</v>
      </c>
      <c r="U18" s="1">
        <f t="shared" si="0"/>
        <v>0.48</v>
      </c>
      <c r="V18" s="1">
        <f t="shared" si="1"/>
        <v>1.0000000000000002E-2</v>
      </c>
      <c r="W18" s="1">
        <f t="shared" si="2"/>
        <v>0.49</v>
      </c>
      <c r="X18" s="9">
        <f t="shared" si="3"/>
        <v>0.62010643234309015</v>
      </c>
      <c r="AA18" s="8">
        <v>0.8</v>
      </c>
      <c r="AB18" s="9">
        <v>-0.2</v>
      </c>
      <c r="AC18" s="1">
        <f t="shared" si="4"/>
        <v>0.49608514587447217</v>
      </c>
      <c r="AD18" s="9">
        <f t="shared" si="5"/>
        <v>-0.12402128646861804</v>
      </c>
      <c r="AE18" s="8"/>
      <c r="AH18" s="9"/>
    </row>
    <row r="19" spans="2:36" ht="25.5" thickBot="1" x14ac:dyDescent="0.45">
      <c r="B19" s="1">
        <f>0.6*0.8+0.1*0.1</f>
        <v>0.49</v>
      </c>
      <c r="C19" s="1">
        <f>1/(1+EXP(-1*B19))</f>
        <v>0.62010643234309015</v>
      </c>
      <c r="D19" s="17" t="s">
        <v>16</v>
      </c>
      <c r="E19" s="5" t="s">
        <v>17</v>
      </c>
      <c r="F19" s="1">
        <v>0.8</v>
      </c>
      <c r="G19" s="1">
        <f>F19*C19</f>
        <v>0.49608514587447217</v>
      </c>
      <c r="H19" s="1">
        <f>F20*C19</f>
        <v>-0.12402128646861804</v>
      </c>
      <c r="N19" s="10" t="s">
        <v>27</v>
      </c>
      <c r="O19" s="13">
        <v>-0.4</v>
      </c>
      <c r="P19" s="13"/>
      <c r="Q19" s="13" t="s">
        <v>31</v>
      </c>
      <c r="R19" s="13">
        <v>-0.6</v>
      </c>
      <c r="S19" s="11"/>
      <c r="T19" s="10" t="s">
        <v>39</v>
      </c>
      <c r="U19" s="13">
        <f t="shared" si="0"/>
        <v>-0.24</v>
      </c>
      <c r="V19" s="13">
        <f t="shared" si="1"/>
        <v>-0.06</v>
      </c>
      <c r="W19" s="13">
        <f t="shared" si="2"/>
        <v>-0.3</v>
      </c>
      <c r="X19" s="11">
        <f t="shared" si="3"/>
        <v>0.42555748318834102</v>
      </c>
      <c r="AA19" s="10">
        <v>-0.5</v>
      </c>
      <c r="AB19" s="11">
        <v>0.7</v>
      </c>
      <c r="AC19" s="13">
        <f t="shared" si="4"/>
        <v>-0.21277874159417051</v>
      </c>
      <c r="AD19" s="11">
        <f t="shared" si="5"/>
        <v>0.29789023823183869</v>
      </c>
      <c r="AE19" s="10"/>
      <c r="AF19" s="13"/>
      <c r="AG19" s="13"/>
      <c r="AH19" s="11"/>
    </row>
    <row r="20" spans="2:36" ht="25.5" thickBot="1" x14ac:dyDescent="0.45">
      <c r="D20" s="19"/>
      <c r="E20" s="3" t="s">
        <v>18</v>
      </c>
      <c r="F20" s="1">
        <v>-0.2</v>
      </c>
    </row>
    <row r="21" spans="2:36" ht="24.75" x14ac:dyDescent="0.4">
      <c r="B21" s="1">
        <f>-0.6*0.4-0.1*0.6</f>
        <v>-0.3</v>
      </c>
      <c r="C21" s="1">
        <f>1/(1+EXP(-1*B21))</f>
        <v>0.42555748318834102</v>
      </c>
      <c r="D21" s="17" t="s">
        <v>19</v>
      </c>
      <c r="E21" s="5" t="s">
        <v>20</v>
      </c>
      <c r="F21" s="1">
        <v>-0.5</v>
      </c>
      <c r="G21" s="1">
        <f>F21*C21</f>
        <v>-0.21277874159417051</v>
      </c>
      <c r="H21" s="1">
        <f>F22*C21</f>
        <v>0.29789023823183869</v>
      </c>
      <c r="AH21" s="1" t="s">
        <v>43</v>
      </c>
    </row>
    <row r="22" spans="2:36" ht="25.5" thickBot="1" x14ac:dyDescent="0.45">
      <c r="D22" s="19"/>
      <c r="E22" s="3" t="s">
        <v>21</v>
      </c>
      <c r="F22" s="1">
        <v>0.7</v>
      </c>
      <c r="AH22" s="1">
        <f>AH16*(1-AH16)</f>
        <v>0.23063009456276048</v>
      </c>
    </row>
    <row r="23" spans="2:36" x14ac:dyDescent="0.4">
      <c r="G23" s="1">
        <f>SUM(G15:G21)</f>
        <v>0.57178870800510717</v>
      </c>
      <c r="H23" s="1">
        <f>SUM(H15:H21)</f>
        <v>-0.10719496845120285</v>
      </c>
      <c r="AH23" s="1">
        <f>AH17*(1-AH17)</f>
        <v>0.24928320057718381</v>
      </c>
    </row>
    <row r="24" spans="2:36" x14ac:dyDescent="0.4">
      <c r="F24" s="1" t="s">
        <v>22</v>
      </c>
      <c r="G24" s="1">
        <f>1/(1+EXP(-1*G23))</f>
        <v>0.63917580765793858</v>
      </c>
      <c r="H24" s="1">
        <f>1/(1+EXP(-1*H23))</f>
        <v>0.47322688993007694</v>
      </c>
      <c r="I24" s="1" t="s">
        <v>23</v>
      </c>
    </row>
  </sheetData>
  <mergeCells count="6">
    <mergeCell ref="D21:D22"/>
    <mergeCell ref="D10:D13"/>
    <mergeCell ref="F10:F13"/>
    <mergeCell ref="D15:D16"/>
    <mergeCell ref="D17:D18"/>
    <mergeCell ref="D19:D20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mac10925</dc:creator>
  <cp:lastModifiedBy>Qiyun Ge</cp:lastModifiedBy>
  <dcterms:created xsi:type="dcterms:W3CDTF">2026-05-25T16:32:15Z</dcterms:created>
  <dcterms:modified xsi:type="dcterms:W3CDTF">2026-05-26T03:14:45Z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de0556-1f76-452e-9e94-03158f226e4e_Enabled">
    <vt:lpwstr>true</vt:lpwstr>
  </property>
  <property fmtid="{D5CDD505-2E9C-101B-9397-08002B2CF9AE}" pid="3" name="MSIP_Label_cdde0556-1f76-452e-9e94-03158f226e4e_SetDate">
    <vt:lpwstr>2026-05-26T03:14:45Z</vt:lpwstr>
  </property>
  <property fmtid="{D5CDD505-2E9C-101B-9397-08002B2CF9AE}" pid="4" name="MSIP_Label_cdde0556-1f76-452e-9e94-03158f226e4e_Method">
    <vt:lpwstr>Standard</vt:lpwstr>
  </property>
  <property fmtid="{D5CDD505-2E9C-101B-9397-08002B2CF9AE}" pid="5" name="MSIP_Label_cdde0556-1f76-452e-9e94-03158f226e4e_Name">
    <vt:lpwstr>Private</vt:lpwstr>
  </property>
  <property fmtid="{D5CDD505-2E9C-101B-9397-08002B2CF9AE}" pid="6" name="MSIP_Label_cdde0556-1f76-452e-9e94-03158f226e4e_SiteId">
    <vt:lpwstr>7015a19d-0dbb-4c31-8709-253cf07f631f</vt:lpwstr>
  </property>
  <property fmtid="{D5CDD505-2E9C-101B-9397-08002B2CF9AE}" pid="7" name="MSIP_Label_cdde0556-1f76-452e-9e94-03158f226e4e_ActionId">
    <vt:lpwstr>784ceec3-cfc8-4b83-8f10-f6545e57b5e1</vt:lpwstr>
  </property>
  <property fmtid="{D5CDD505-2E9C-101B-9397-08002B2CF9AE}" pid="8" name="MSIP_Label_cdde0556-1f76-452e-9e94-03158f226e4e_ContentBits">
    <vt:lpwstr>0</vt:lpwstr>
  </property>
  <property fmtid="{D5CDD505-2E9C-101B-9397-08002B2CF9AE}" pid="9" name="MSIP_Label_cdde0556-1f76-452e-9e94-03158f226e4e_Tag">
    <vt:lpwstr>10, 3, 0, 1</vt:lpwstr>
  </property>
</Properties>
</file>